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idhi Anant\Desktop\Data_Analyst_Assignment\Spreadsheets\"/>
    </mc:Choice>
  </mc:AlternateContent>
  <xr:revisionPtr revIDLastSave="0" documentId="13_ncr:1_{B16770AB-A0D0-46F7-B4D7-E5E89D969D64}" xr6:coauthVersionLast="47" xr6:coauthVersionMax="47" xr10:uidLastSave="{00000000-0000-0000-0000-000000000000}"/>
  <bookViews>
    <workbookView xWindow="10644" yWindow="0" windowWidth="12492" windowHeight="12336" xr2:uid="{00000000-000D-0000-FFFF-FFFF00000000}"/>
  </bookViews>
  <sheets>
    <sheet name="ticket" sheetId="1" r:id="rId1"/>
    <sheet name="feedback" sheetId="2" r:id="rId2"/>
  </sheets>
  <calcPr calcId="191029"/>
</workbook>
</file>

<file path=xl/calcChain.xml><?xml version="1.0" encoding="utf-8"?>
<calcChain xmlns="http://schemas.openxmlformats.org/spreadsheetml/2006/main">
  <c r="D9" i="1" l="1"/>
  <c r="E9" i="1" s="1"/>
  <c r="D10" i="1"/>
  <c r="F3" i="1"/>
  <c r="F2" i="1"/>
  <c r="D3" i="2"/>
  <c r="D2" i="2"/>
  <c r="G3" i="1"/>
  <c r="G2" i="1"/>
  <c r="E10" i="1" l="1"/>
</calcChain>
</file>

<file path=xl/sharedStrings.xml><?xml version="1.0" encoding="utf-8"?>
<sst xmlns="http://schemas.openxmlformats.org/spreadsheetml/2006/main" count="30" uniqueCount="24">
  <si>
    <t>ticket_id</t>
  </si>
  <si>
    <t>created_at</t>
  </si>
  <si>
    <t>closed_at</t>
  </si>
  <si>
    <t>outlet_id</t>
  </si>
  <si>
    <t>cms_id</t>
  </si>
  <si>
    <t>same_day</t>
  </si>
  <si>
    <t>same_hour</t>
  </si>
  <si>
    <t>isu-sjd-457</t>
  </si>
  <si>
    <t>2021-08-19 16:45:43</t>
  </si>
  <si>
    <t>2021-08-22 12:33:32</t>
  </si>
  <si>
    <t>wrqy-juv-978</t>
  </si>
  <si>
    <t>vew-iuvd-12</t>
  </si>
  <si>
    <t>qer-fal-092</t>
  </si>
  <si>
    <t>2021-08-21 11:09:22</t>
  </si>
  <si>
    <t>2021-08-21 17:13:45</t>
  </si>
  <si>
    <t>8woh-k3u-23b</t>
  </si>
  <si>
    <t>abc-xyz-34</t>
  </si>
  <si>
    <t>feedback_at</t>
  </si>
  <si>
    <t>feedback_rating</t>
  </si>
  <si>
    <t>ticket_created_at</t>
  </si>
  <si>
    <t>2021-08-21 13:26:48</t>
  </si>
  <si>
    <t>2021-08-21 13:26:49</t>
  </si>
  <si>
    <t>same_hour_count</t>
  </si>
  <si>
    <t>same_day_count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</si>
</sst>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ED436-F65F-41D0-A381-950EF72722AA}" name="Table1" displayName="Table1" ref="C8:E10" totalsRowShown="0">
  <autoFilter ref="C8:E10" xr:uid="{DC4ED436-F65F-41D0-A381-950EF72722AA}"/>
  <tableColumns count="3">
    <tableColumn id="1" xr3:uid="{E6A635A6-7993-4FC3-8808-CFE509DC0087}" name="outlet_id"/>
    <tableColumn id="2" xr3:uid="{F0CF7B28-CA6B-44F9-97BF-77320574D723}" name="same_day_count" dataDxfId="0">
      <calculatedColumnFormula>SUMPRODUCT((D1:D2="8woh-k3u-23b")*(F1:F2="YES"))</calculatedColumnFormula>
    </tableColumn>
    <tableColumn id="3" xr3:uid="{BE16DCC7-840C-4F37-90BC-FDC05A4358DC}" name="same_hour_count" dataDxfId="1">
      <calculatedColumnFormula>COUNTIFS(D:D,"wrqy-juv-978",F:F,"YES")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D10" sqref="D10"/>
    </sheetView>
  </sheetViews>
  <sheetFormatPr defaultRowHeight="14.4" x14ac:dyDescent="0.3"/>
  <cols>
    <col min="1" max="1" width="10.109375" bestFit="1" customWidth="1"/>
    <col min="2" max="3" width="18.109375" bestFit="1" customWidth="1"/>
    <col min="4" max="4" width="17.77734375" bestFit="1" customWidth="1"/>
    <col min="5" max="5" width="18.6640625" bestFit="1" customWidth="1"/>
    <col min="6" max="6" width="9.21875" bestFit="1" customWidth="1"/>
    <col min="7" max="7" width="10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tr">
        <f>IF(INT(B2)=INT(C2),"YES","NO")</f>
        <v>NO</v>
      </c>
      <c r="G2" s="1" t="str">
        <f>IF(HOUR(B2)=HOUR(C2),"YES","NO")</f>
        <v>NO</v>
      </c>
      <c r="H2" s="1"/>
    </row>
    <row r="3" spans="1:8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tr">
        <f>IF(INT(B3)=INT(C3),"YES","NO")</f>
        <v>YES</v>
      </c>
      <c r="G3" s="1" t="str">
        <f>IF(HOUR(B3)=HOUR(C3),"YES","NO")</f>
        <v>NO</v>
      </c>
      <c r="H3" s="1"/>
    </row>
    <row r="4" spans="1:8" x14ac:dyDescent="0.3">
      <c r="B4" s="2"/>
      <c r="C4" s="1"/>
      <c r="D4" s="1"/>
      <c r="E4" s="1"/>
      <c r="F4" s="1"/>
      <c r="G4" s="1"/>
      <c r="H4" s="1"/>
    </row>
    <row r="5" spans="1:8" x14ac:dyDescent="0.3">
      <c r="B5" s="2"/>
      <c r="C5" s="1"/>
      <c r="D5" s="1"/>
      <c r="E5" s="1"/>
      <c r="F5" s="1"/>
      <c r="G5" s="1"/>
      <c r="H5" s="1"/>
    </row>
    <row r="6" spans="1:8" x14ac:dyDescent="0.3">
      <c r="B6" s="2"/>
    </row>
    <row r="8" spans="1:8" x14ac:dyDescent="0.3">
      <c r="C8" t="s">
        <v>3</v>
      </c>
      <c r="D8" t="s">
        <v>23</v>
      </c>
      <c r="E8" t="s">
        <v>22</v>
      </c>
    </row>
    <row r="9" spans="1:8" x14ac:dyDescent="0.3">
      <c r="C9" t="s">
        <v>10</v>
      </c>
      <c r="D9">
        <f t="shared" ref="D9:D10" si="0">SUMPRODUCT((D1:D2="8woh-k3u-23b")*(F1:F2="YES"))</f>
        <v>0</v>
      </c>
      <c r="E9">
        <f t="shared" ref="E9:E10" si="1">COUNTIFS(D:D,"wrqy-juv-978",F:F,"YES")</f>
        <v>0</v>
      </c>
    </row>
    <row r="10" spans="1:8" x14ac:dyDescent="0.3">
      <c r="C10" t="s">
        <v>15</v>
      </c>
      <c r="D10">
        <f t="shared" si="0"/>
        <v>1</v>
      </c>
      <c r="E10">
        <f t="shared" si="1"/>
        <v>0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B14" sqref="B14"/>
    </sheetView>
  </sheetViews>
  <sheetFormatPr defaultRowHeight="14.4" x14ac:dyDescent="0.3"/>
  <cols>
    <col min="1" max="1" width="11" bestFit="1" customWidth="1"/>
    <col min="2" max="2" width="18.109375" bestFit="1" customWidth="1"/>
    <col min="3" max="3" width="14.21875" bestFit="1" customWidth="1"/>
    <col min="4" max="4" width="18.109375" bestFit="1" customWidth="1"/>
  </cols>
  <sheetData>
    <row r="1" spans="1:6" x14ac:dyDescent="0.3">
      <c r="A1" s="1" t="s">
        <v>4</v>
      </c>
      <c r="B1" s="1" t="s">
        <v>17</v>
      </c>
      <c r="C1" s="1" t="s">
        <v>18</v>
      </c>
      <c r="D1" s="1" t="s">
        <v>19</v>
      </c>
      <c r="E1" s="1"/>
      <c r="F1" s="1"/>
    </row>
    <row r="2" spans="1:6" x14ac:dyDescent="0.3">
      <c r="A2" s="1" t="s">
        <v>11</v>
      </c>
      <c r="B2" s="1" t="s">
        <v>20</v>
      </c>
      <c r="C2" s="1">
        <v>3</v>
      </c>
      <c r="D2" s="1" t="str">
        <f>INDEX(ticket!B:B, MATCH(A2, ticket!E:E, 0))</f>
        <v>2021-08-19 16:45:43</v>
      </c>
      <c r="E2" s="1"/>
      <c r="F2" s="1"/>
    </row>
    <row r="3" spans="1:6" x14ac:dyDescent="0.3">
      <c r="A3" s="1" t="s">
        <v>16</v>
      </c>
      <c r="B3" s="1" t="s">
        <v>21</v>
      </c>
      <c r="C3" s="1">
        <v>4</v>
      </c>
      <c r="D3" s="1" t="str">
        <f>INDEX(ticket!B:B, MATCH(A3, ticket!E:E, 0))</f>
        <v>2021-08-21 11:09:22</v>
      </c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/>
      <c r="B6" s="1"/>
      <c r="C6" s="1"/>
      <c r="D6" s="1"/>
      <c r="E6" s="1"/>
      <c r="F6" s="1"/>
    </row>
    <row r="7" spans="1:6" x14ac:dyDescent="0.3">
      <c r="A7" s="1"/>
      <c r="B7" s="1"/>
      <c r="C7" s="1"/>
      <c r="D7" s="1"/>
      <c r="E7" s="1"/>
      <c r="F7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Paridhi Anant</cp:lastModifiedBy>
  <dcterms:created xsi:type="dcterms:W3CDTF">2026-04-09T09:18:27Z</dcterms:created>
  <dcterms:modified xsi:type="dcterms:W3CDTF">2026-04-09T09:51:30Z</dcterms:modified>
</cp:coreProperties>
</file>